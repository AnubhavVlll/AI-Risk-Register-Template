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al Risk Register" sheetId="1" r:id="rId4"/>
    <sheet state="visible" name="Blank Register Template" sheetId="2" r:id="rId5"/>
    <sheet state="visible" name="5x5 Matrix &amp; Rubrics" sheetId="3" r:id="rId6"/>
    <sheet state="visible" name="Column Guide &amp; Rules" sheetId="4" r:id="rId7"/>
  </sheets>
  <definedNames/>
  <calcPr/>
  <extLst>
    <ext uri="GoogleSheetsCustomDataVersion2">
      <go:sheetsCustomData xmlns:go="http://customooxmlschemas.google.com/" r:id="rId8" roundtripDataChecksum="dvncbXsYQMNZ4q8xvZQQwbmP/yH55I14r70Fx/DZKNw="/>
    </ext>
  </extLst>
</workbook>
</file>

<file path=xl/sharedStrings.xml><?xml version="1.0" encoding="utf-8"?>
<sst xmlns="http://schemas.openxmlformats.org/spreadsheetml/2006/main" count="237" uniqueCount="168">
  <si>
    <t>AI Risk Register — Blank Template</t>
  </si>
  <si>
    <t>AI Risk Register — Universal Worked Examples</t>
  </si>
  <si>
    <t>Use this clean template to track your own AI features, datasets, and vendors.</t>
  </si>
  <si>
    <t>NIST AI RMF-aligned risk tracking across the product lifecycle (8 Worked Examples)</t>
  </si>
  <si>
    <t>Column Definitions &amp; Register Governance Rules</t>
  </si>
  <si>
    <t>NIST AI RMF Scoring Rubrics &amp; 5×5 Risk Matrix</t>
  </si>
  <si>
    <t>#</t>
  </si>
  <si>
    <t>Risk ID</t>
  </si>
  <si>
    <t>1. 5×5 Risk Scoring Matrix (Score = Likelihood × Impact)</t>
  </si>
  <si>
    <t>Column Name</t>
  </si>
  <si>
    <t>What to Enter &amp; Rules</t>
  </si>
  <si>
    <t>Risk Description</t>
  </si>
  <si>
    <t>Likelihood ↓ / Impact →</t>
  </si>
  <si>
    <t>NIST Function</t>
  </si>
  <si>
    <t>Risk Category</t>
  </si>
  <si>
    <t>1 (Negligible)</t>
  </si>
  <si>
    <t>AI System / Module</t>
  </si>
  <si>
    <t>2 (Minor)</t>
  </si>
  <si>
    <t>Likelihood (1–5)</t>
  </si>
  <si>
    <t>3 (Moderate)</t>
  </si>
  <si>
    <t>Impact (1–5)</t>
  </si>
  <si>
    <t>4 (Major)</t>
  </si>
  <si>
    <t>Risk Score</t>
  </si>
  <si>
    <t>5 (Severe)</t>
  </si>
  <si>
    <t>Risk Tier</t>
  </si>
  <si>
    <t>Short, unique identifier (e.g. R-001, R-002). Never reuse or renumber an ID once assigned, even if closed.</t>
  </si>
  <si>
    <t>Owner</t>
  </si>
  <si>
    <t>5 (Almost Certain)</t>
  </si>
  <si>
    <t>Mitigation / Control Action</t>
  </si>
  <si>
    <t>One sentence stating the specific failure mode: what could go wrong, in what system, under what condition.</t>
  </si>
  <si>
    <t>5 – Medium</t>
  </si>
  <si>
    <t>Status</t>
  </si>
  <si>
    <t>Next Review</t>
  </si>
  <si>
    <t>10 – High</t>
  </si>
  <si>
    <t>R-001</t>
  </si>
  <si>
    <t>One of: Govern (policy/accountability), Map (context/identification), Measure (testing/metrics), Manage (mitigation/response).</t>
  </si>
  <si>
    <t>15 – Critical</t>
  </si>
  <si>
    <t>20 – Critical</t>
  </si>
  <si>
    <t>Label grouping risk by type: Data Governance, Model Risk, Compliance, Bias/Fairness, Vendor, Security, Operational.</t>
  </si>
  <si>
    <t>25 – Critical</t>
  </si>
  <si>
    <t>4 (Likely)</t>
  </si>
  <si>
    <t>The specific feature, model, or pipeline this risk applies to. Use internal engineering component names.</t>
  </si>
  <si>
    <t>4 – Low</t>
  </si>
  <si>
    <t>Training or fine-tuning data includes personal or sensitive user data with no documented consent basis or provenance record</t>
  </si>
  <si>
    <t>Map</t>
  </si>
  <si>
    <t>8 – Medium</t>
  </si>
  <si>
    <t>Data Governance</t>
  </si>
  <si>
    <t>12 – High</t>
  </si>
  <si>
    <t>Probable frequency scored using Section 3 rubric (1=Rare to 5=Almost Certain).</t>
  </si>
  <si>
    <t>Model Training Pipeline</t>
  </si>
  <si>
    <t>16 – Critical</t>
  </si>
  <si>
    <t>3 (Possible)</t>
  </si>
  <si>
    <t>3 – Low</t>
  </si>
  <si>
    <t>Worst-case severity scored using Section 4 rubric (1=Negligible to 5=Severe).</t>
  </si>
  <si>
    <t>6 – Medium</t>
  </si>
  <si>
    <t>9 – High</t>
  </si>
  <si>
    <t>Calculated automatically as Likelihood × Impact (1 to 25).</t>
  </si>
  <si>
    <t>2 (Unlikely)</t>
  </si>
  <si>
    <t>2 – Low</t>
  </si>
  <si>
    <t>Calculated automatically: Low (1-4), Medium (5-9), High (10-14), Critical (15-25). Drives review cadence.</t>
  </si>
  <si>
    <t>1 (Rare)</t>
  </si>
  <si>
    <t>Named individual or explicit role accountable for this risk (e.g., Data Science Lead). Never a generic team name.</t>
  </si>
  <si>
    <t>1 – Low</t>
  </si>
  <si>
    <t>Open</t>
  </si>
  <si>
    <t>Specific action reducing likelihood or impact. Must be an actionable technical or policy control.</t>
  </si>
  <si>
    <t>Data/ML Lead</t>
  </si>
  <si>
    <t>R-002</t>
  </si>
  <si>
    <t>Build a data provenance log for every training dataset; confirm consent basis before any dataset is used for training</t>
  </si>
  <si>
    <t>Risk Tier Action Rules:</t>
  </si>
  <si>
    <t>One of: Open, In Progress, Mitigated, Accepted (formally risk-accepted by executive), Closed.</t>
  </si>
  <si>
    <t>Low (1–4)</t>
  </si>
  <si>
    <t>Weekly</t>
  </si>
  <si>
    <t>Log it, no immediate action required. Review quarterly.</t>
  </si>
  <si>
    <t>End users interact with AI-generated content or decisions with no disclosure that AI produced or influenced the output</t>
  </si>
  <si>
    <t>Scheduled date/cadence (Weekly for Critical/High, Monthly for Medium/Low).</t>
  </si>
  <si>
    <t>Govern</t>
  </si>
  <si>
    <t>Compliance</t>
  </si>
  <si>
    <t>Mandatory Governance Rules</t>
  </si>
  <si>
    <t>Customer-Facing AI Feature</t>
  </si>
  <si>
    <t>Medium (5–9)</t>
  </si>
  <si>
    <t>Assign an owner and a mitigation plan; review monthly.</t>
  </si>
  <si>
    <t>1. Every new model, data source, or AI vendor gets a row BEFORE it ships — not after.</t>
  </si>
  <si>
    <t>2. No row is valid without a named individual Owner.</t>
  </si>
  <si>
    <t>High (10–14)</t>
  </si>
  <si>
    <t>R-003</t>
  </si>
  <si>
    <t>3. No Critical row goes unreviewed for more than one week.</t>
  </si>
  <si>
    <t>Product, Legal</t>
  </si>
  <si>
    <t>Mitigation must be in progress before next release; review weekly.</t>
  </si>
  <si>
    <t>Add a visible AI-disclosure label wherever AI-generated or AI-influenced content reaches an end user</t>
  </si>
  <si>
    <t>4. Status is updated at every review, even when nothing has changed.</t>
  </si>
  <si>
    <t>Monthly</t>
  </si>
  <si>
    <t>Critical (15–25)</t>
  </si>
  <si>
    <t>5. Risk IDs are permanent and never reused or renumbered.</t>
  </si>
  <si>
    <t>No audit log exists for AI-driven decisions that affect a user, so a decision can't be reconstructed or explained after the fact</t>
  </si>
  <si>
    <t>BLOCKS RELEASE of affected feature until mitigated or risk-accepted by senior owner. Review weekly.</t>
  </si>
  <si>
    <t>6. Critical tier BLOCKS release unless explicitly risk-accepted in writing by a named senior owner.</t>
  </si>
  <si>
    <t>Decision-Support AI Feature</t>
  </si>
  <si>
    <t>2. Likelihood Scoring Rubric (1–5)</t>
  </si>
  <si>
    <t>Score</t>
  </si>
  <si>
    <t>R-004</t>
  </si>
  <si>
    <t>Label</t>
  </si>
  <si>
    <t>Definition</t>
  </si>
  <si>
    <t>Rare</t>
  </si>
  <si>
    <t>Would require an unusual combination of failures; no precedent in this system or comparable systems</t>
  </si>
  <si>
    <t>Eng Lead</t>
  </si>
  <si>
    <t>Log every AI decision: inputs, output, model version, timestamp; retain per data retention policy</t>
  </si>
  <si>
    <t>Unlikely</t>
  </si>
  <si>
    <t>Technically possible, no evidence of occurrence yet; would require a specific edge case</t>
  </si>
  <si>
    <t>A third-party AI/model API vendor is integrated into the product with no signed Data Processing Agreement or documented data handling terms</t>
  </si>
  <si>
    <t>R-005</t>
  </si>
  <si>
    <t>Vendor / Compliance</t>
  </si>
  <si>
    <t>Core AI Feature (vendor-dependent)</t>
  </si>
  <si>
    <t>Possible</t>
  </si>
  <si>
    <t>Plausible under normal operating conditions; similar issues have occurred in comparable AI systems</t>
  </si>
  <si>
    <t>Legal, Procurement</t>
  </si>
  <si>
    <t>Likely</t>
  </si>
  <si>
    <t>Execute a DPA with every AI vendor before production use; log vendor, data shared, and retention terms in a vendor register</t>
  </si>
  <si>
    <t>Has already occurred at least once, or occurs under conditions the system regularly encounters</t>
  </si>
  <si>
    <t>R-006</t>
  </si>
  <si>
    <t>Model performance degrades over time as real-world inputs shift from training conditions, with no monitoring in place to detect it</t>
  </si>
  <si>
    <t>Manage</t>
  </si>
  <si>
    <t>Model Risk</t>
  </si>
  <si>
    <t>Almost Certain</t>
  </si>
  <si>
    <t>Any Production AI Model</t>
  </si>
  <si>
    <t>Occurring now, or will occur within the next release cycle without intervention</t>
  </si>
  <si>
    <t>3. Impact Scoring Rubric (1–5)</t>
  </si>
  <si>
    <t>R-007</t>
  </si>
  <si>
    <t>ML Lead</t>
  </si>
  <si>
    <t>Establish a monitoring benchmark and alert threshold for output quality/accuracy drift; review monthly</t>
  </si>
  <si>
    <t>Negligible</t>
  </si>
  <si>
    <t>Internal-only inconvenience; no customer or regulatory exposure</t>
  </si>
  <si>
    <t>No fairness or bias testing has been run across user segments (e.g., demographic, geographic, or behavioral groups) before or after launch</t>
  </si>
  <si>
    <t>Measure</t>
  </si>
  <si>
    <t>Minor</t>
  </si>
  <si>
    <t>Bias / Fairness</t>
  </si>
  <si>
    <t>Isolated customer complaint or minor rework; no external reporting obligation</t>
  </si>
  <si>
    <t>Any User-Facing AI Feature</t>
  </si>
  <si>
    <t>R-008</t>
  </si>
  <si>
    <t>Moderate</t>
  </si>
  <si>
    <t>Visible customer harm (wrong output, degraded trust) or minor data governance gap; fixable without disclosure</t>
  </si>
  <si>
    <t>Data Science</t>
  </si>
  <si>
    <t>Run a segment-level output distribution audit pre-launch and quarterly thereafter; document and remediate disparities</t>
  </si>
  <si>
    <t>Major</t>
  </si>
  <si>
    <t>Quarterly</t>
  </si>
  <si>
    <t>Regulatory exposure, material customer harm, or reputational damage requiring disclosure</t>
  </si>
  <si>
    <t>Employees use unsanctioned public AI tools with company or customer data because no approved internal AI toolset exists ("shadow AI")</t>
  </si>
  <si>
    <t>Severe</t>
  </si>
  <si>
    <t>Org-wide</t>
  </si>
  <si>
    <t>Legal liability, regulatory penalty, breach notification obligation, or harm at scale across multiple users</t>
  </si>
  <si>
    <t>R-009</t>
  </si>
  <si>
    <t>IT Security, Compliance</t>
  </si>
  <si>
    <t>Publish an approved-AI-tools policy; deploy data-loss-prevention controls; run team awareness training</t>
  </si>
  <si>
    <t>A high-stakes AI-driven decision (affecting access, pricing, ranking, or eligibility) ships with no human review or override mechanism</t>
  </si>
  <si>
    <t>Governance / Operational</t>
  </si>
  <si>
    <t>High-Stakes AI Feature</t>
  </si>
  <si>
    <t>R-010</t>
  </si>
  <si>
    <t>Product, Compliance</t>
  </si>
  <si>
    <t>Require a human-in-the-loop review path for any decision above a defined stakes threshold before full automation is allowed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</si>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</sst>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0F172A"/>
      <name val="Quattrocento Sans"/>
    </font>
    <font>
      <i/>
      <sz val="11.0"/>
      <color rgb="FF475569"/>
      <name val="Quattrocento Sans"/>
    </font>
    <font>
      <b/>
      <sz val="11.0"/>
      <color rgb="FFFFFFFF"/>
      <name val="Quattrocento Sans"/>
    </font>
    <font>
      <b/>
      <sz val="13.0"/>
      <color rgb="FF1E3A8A"/>
      <name val="Quattrocento Sans"/>
    </font>
    <font/>
    <font>
      <sz val="10.0"/>
      <color rgb="FF1E293B"/>
      <name val="Quattrocento Sans"/>
    </font>
    <font>
      <b/>
      <sz val="10.0"/>
      <color rgb="FF1E293B"/>
      <name val="Quattrocento Sans"/>
    </font>
    <font>
      <b/>
      <sz val="10.0"/>
      <color rgb="FF854D0E"/>
      <name val="Quattrocento Sans"/>
    </font>
    <font>
      <b/>
      <sz val="10.0"/>
      <color rgb="FFC2410C"/>
      <name val="Quattrocento Sans"/>
    </font>
    <font>
      <b/>
      <sz val="10.0"/>
      <color rgb="FF991B1B"/>
      <name val="Quattrocento Sans"/>
    </font>
    <font>
      <b/>
      <sz val="10.0"/>
      <color rgb="FF166534"/>
      <name val="Quattrocento Sans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EF9C3"/>
        <bgColor rgb="FFFEF9C3"/>
      </patternFill>
    </fill>
    <fill>
      <patternFill patternType="solid">
        <fgColor rgb="FFFFEDD5"/>
        <bgColor rgb="FFFFEDD5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" fillId="2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8" fillId="0" fontId="5" numFmtId="0" xfId="0" applyBorder="1" applyFont="1"/>
    <xf borderId="5" fillId="3" fontId="6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6" fillId="3" fontId="6" numFmtId="0" xfId="0" applyAlignment="1" applyBorder="1" applyFont="1">
      <alignment horizontal="left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5" fillId="6" fontId="10" numFmtId="0" xfId="0" applyAlignment="1" applyBorder="1" applyFill="1" applyFont="1">
      <alignment horizontal="center" shrinkToFit="0" vertical="center" wrapText="1"/>
    </xf>
    <xf borderId="5" fillId="7" fontId="11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5" fillId="0" fontId="6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6" fillId="0" fontId="6" numFmtId="0" xfId="0" applyBorder="1" applyFont="1"/>
    <xf borderId="5" fillId="5" fontId="7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16.0"/>
    <col customWidth="1" min="4" max="4" width="20.0"/>
    <col customWidth="1" min="5" max="5" width="28.0"/>
    <col customWidth="1" min="6" max="7" width="16.0"/>
    <col customWidth="1" min="8" max="9" width="14.0"/>
    <col customWidth="1" min="10" max="10" width="22.0"/>
    <col customWidth="1" min="11" max="11" width="45.0"/>
    <col customWidth="1" min="12" max="12" width="15.0"/>
    <col customWidth="1" min="13" max="13" width="16.0"/>
    <col customWidth="1" min="14" max="26" width="8.71"/>
  </cols>
  <sheetData>
    <row r="1">
      <c r="A1" s="1" t="s">
        <v>1</v>
      </c>
    </row>
    <row r="2">
      <c r="A2" s="2" t="s">
        <v>3</v>
      </c>
    </row>
    <row r="4" ht="27.75" customHeight="1">
      <c r="A4" s="3" t="s">
        <v>7</v>
      </c>
      <c r="B4" s="3" t="s">
        <v>11</v>
      </c>
      <c r="C4" s="3" t="s">
        <v>13</v>
      </c>
      <c r="D4" s="3" t="s">
        <v>14</v>
      </c>
      <c r="E4" s="3" t="s">
        <v>16</v>
      </c>
      <c r="F4" s="3" t="s">
        <v>18</v>
      </c>
      <c r="G4" s="3" t="s">
        <v>20</v>
      </c>
      <c r="H4" s="3" t="s">
        <v>22</v>
      </c>
      <c r="I4" s="3" t="s">
        <v>24</v>
      </c>
      <c r="J4" s="3" t="s">
        <v>26</v>
      </c>
      <c r="K4" s="3" t="s">
        <v>28</v>
      </c>
      <c r="L4" s="3" t="s">
        <v>31</v>
      </c>
      <c r="M4" s="3" t="s">
        <v>32</v>
      </c>
    </row>
    <row r="5" ht="42.0" customHeight="1">
      <c r="A5" s="13" t="s">
        <v>34</v>
      </c>
      <c r="B5" s="18" t="s">
        <v>43</v>
      </c>
      <c r="C5" s="13" t="s">
        <v>44</v>
      </c>
      <c r="D5" s="18" t="s">
        <v>46</v>
      </c>
      <c r="E5" s="18" t="s">
        <v>49</v>
      </c>
      <c r="F5" s="13">
        <v>3.0</v>
      </c>
      <c r="G5" s="13">
        <v>5.0</v>
      </c>
      <c r="H5" s="21">
        <f t="shared" ref="H5:H12" si="1">F5*G5</f>
        <v>15</v>
      </c>
      <c r="I5" s="19" t="str">
        <f t="shared" ref="I5:I12" si="2">IF(H5&gt;=15,"Critical",IF(H5&gt;=10,"High",IF(H5&gt;=5,"Medium","Low")))</f>
        <v>Critical</v>
      </c>
      <c r="J5" s="18" t="s">
        <v>65</v>
      </c>
      <c r="K5" s="18" t="s">
        <v>67</v>
      </c>
      <c r="L5" s="13" t="s">
        <v>63</v>
      </c>
      <c r="M5" s="13" t="s">
        <v>71</v>
      </c>
    </row>
    <row r="6" ht="42.0" customHeight="1">
      <c r="A6" s="8" t="s">
        <v>66</v>
      </c>
      <c r="B6" s="23" t="s">
        <v>73</v>
      </c>
      <c r="C6" s="8" t="s">
        <v>75</v>
      </c>
      <c r="D6" s="23" t="s">
        <v>76</v>
      </c>
      <c r="E6" s="23" t="s">
        <v>78</v>
      </c>
      <c r="F6" s="8">
        <v>3.0</v>
      </c>
      <c r="G6" s="8">
        <v>4.0</v>
      </c>
      <c r="H6" s="26">
        <f t="shared" si="1"/>
        <v>12</v>
      </c>
      <c r="I6" s="17" t="str">
        <f t="shared" si="2"/>
        <v>High</v>
      </c>
      <c r="J6" s="23" t="s">
        <v>86</v>
      </c>
      <c r="K6" s="23" t="s">
        <v>88</v>
      </c>
      <c r="L6" s="8" t="s">
        <v>63</v>
      </c>
      <c r="M6" s="8" t="s">
        <v>90</v>
      </c>
    </row>
    <row r="7" ht="42.0" customHeight="1">
      <c r="A7" s="13" t="s">
        <v>84</v>
      </c>
      <c r="B7" s="18" t="s">
        <v>93</v>
      </c>
      <c r="C7" s="13" t="s">
        <v>75</v>
      </c>
      <c r="D7" s="18" t="s">
        <v>76</v>
      </c>
      <c r="E7" s="18" t="s">
        <v>96</v>
      </c>
      <c r="F7" s="13">
        <v>3.0</v>
      </c>
      <c r="G7" s="13">
        <v>4.0</v>
      </c>
      <c r="H7" s="26">
        <f t="shared" si="1"/>
        <v>12</v>
      </c>
      <c r="I7" s="17" t="str">
        <f t="shared" si="2"/>
        <v>High</v>
      </c>
      <c r="J7" s="18" t="s">
        <v>104</v>
      </c>
      <c r="K7" s="18" t="s">
        <v>105</v>
      </c>
      <c r="L7" s="13" t="s">
        <v>63</v>
      </c>
      <c r="M7" s="13" t="s">
        <v>90</v>
      </c>
    </row>
    <row r="8" ht="42.0" customHeight="1">
      <c r="A8" s="8" t="s">
        <v>99</v>
      </c>
      <c r="B8" s="23" t="s">
        <v>108</v>
      </c>
      <c r="C8" s="8" t="s">
        <v>75</v>
      </c>
      <c r="D8" s="23" t="s">
        <v>110</v>
      </c>
      <c r="E8" s="23" t="s">
        <v>111</v>
      </c>
      <c r="F8" s="8">
        <v>3.0</v>
      </c>
      <c r="G8" s="8">
        <v>5.0</v>
      </c>
      <c r="H8" s="21">
        <f t="shared" si="1"/>
        <v>15</v>
      </c>
      <c r="I8" s="19" t="str">
        <f t="shared" si="2"/>
        <v>Critical</v>
      </c>
      <c r="J8" s="23" t="s">
        <v>114</v>
      </c>
      <c r="K8" s="23" t="s">
        <v>116</v>
      </c>
      <c r="L8" s="8" t="s">
        <v>63</v>
      </c>
      <c r="M8" s="8" t="s">
        <v>90</v>
      </c>
    </row>
    <row r="9" ht="42.0" customHeight="1">
      <c r="A9" s="13" t="s">
        <v>109</v>
      </c>
      <c r="B9" s="18" t="s">
        <v>119</v>
      </c>
      <c r="C9" s="13" t="s">
        <v>120</v>
      </c>
      <c r="D9" s="18" t="s">
        <v>121</v>
      </c>
      <c r="E9" s="18" t="s">
        <v>123</v>
      </c>
      <c r="F9" s="13">
        <v>3.0</v>
      </c>
      <c r="G9" s="13">
        <v>3.0</v>
      </c>
      <c r="H9" s="27">
        <f t="shared" si="1"/>
        <v>9</v>
      </c>
      <c r="I9" s="16" t="str">
        <f t="shared" si="2"/>
        <v>Medium</v>
      </c>
      <c r="J9" s="18" t="s">
        <v>127</v>
      </c>
      <c r="K9" s="18" t="s">
        <v>128</v>
      </c>
      <c r="L9" s="13" t="s">
        <v>63</v>
      </c>
      <c r="M9" s="13" t="s">
        <v>90</v>
      </c>
    </row>
    <row r="10" ht="42.0" customHeight="1">
      <c r="A10" s="8" t="s">
        <v>118</v>
      </c>
      <c r="B10" s="23" t="s">
        <v>131</v>
      </c>
      <c r="C10" s="8" t="s">
        <v>132</v>
      </c>
      <c r="D10" s="23" t="s">
        <v>134</v>
      </c>
      <c r="E10" s="23" t="s">
        <v>136</v>
      </c>
      <c r="F10" s="8">
        <v>3.0</v>
      </c>
      <c r="G10" s="8">
        <v>4.0</v>
      </c>
      <c r="H10" s="26">
        <f t="shared" si="1"/>
        <v>12</v>
      </c>
      <c r="I10" s="17" t="str">
        <f t="shared" si="2"/>
        <v>High</v>
      </c>
      <c r="J10" s="23" t="s">
        <v>140</v>
      </c>
      <c r="K10" s="23" t="s">
        <v>141</v>
      </c>
      <c r="L10" s="8" t="s">
        <v>63</v>
      </c>
      <c r="M10" s="8" t="s">
        <v>143</v>
      </c>
    </row>
    <row r="11" ht="42.0" customHeight="1">
      <c r="A11" s="13" t="s">
        <v>126</v>
      </c>
      <c r="B11" s="18" t="s">
        <v>145</v>
      </c>
      <c r="C11" s="13" t="s">
        <v>75</v>
      </c>
      <c r="D11" s="18" t="s">
        <v>46</v>
      </c>
      <c r="E11" s="18" t="s">
        <v>147</v>
      </c>
      <c r="F11" s="13">
        <v>4.0</v>
      </c>
      <c r="G11" s="13">
        <v>4.0</v>
      </c>
      <c r="H11" s="21">
        <f t="shared" si="1"/>
        <v>16</v>
      </c>
      <c r="I11" s="19" t="str">
        <f t="shared" si="2"/>
        <v>Critical</v>
      </c>
      <c r="J11" s="18" t="s">
        <v>150</v>
      </c>
      <c r="K11" s="18" t="s">
        <v>151</v>
      </c>
      <c r="L11" s="13" t="s">
        <v>63</v>
      </c>
      <c r="M11" s="13" t="s">
        <v>71</v>
      </c>
    </row>
    <row r="12" ht="42.0" customHeight="1">
      <c r="A12" s="8" t="s">
        <v>137</v>
      </c>
      <c r="B12" s="23" t="s">
        <v>152</v>
      </c>
      <c r="C12" s="8" t="s">
        <v>120</v>
      </c>
      <c r="D12" s="23" t="s">
        <v>153</v>
      </c>
      <c r="E12" s="23" t="s">
        <v>154</v>
      </c>
      <c r="F12" s="8">
        <v>3.0</v>
      </c>
      <c r="G12" s="8">
        <v>5.0</v>
      </c>
      <c r="H12" s="21">
        <f t="shared" si="1"/>
        <v>15</v>
      </c>
      <c r="I12" s="19" t="str">
        <f t="shared" si="2"/>
        <v>Critical</v>
      </c>
      <c r="J12" s="23" t="s">
        <v>156</v>
      </c>
      <c r="K12" s="23" t="s">
        <v>157</v>
      </c>
      <c r="L12" s="8" t="s">
        <v>63</v>
      </c>
      <c r="M12" s="8" t="s">
        <v>71</v>
      </c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5:C24">
      <formula1>"Govern,Map,Measure,Manage"</formula1>
    </dataValidation>
    <dataValidation type="decimal" allowBlank="1" showErrorMessage="1" sqref="F5:G24">
      <formula1>1.0</formula1>
      <formula2>5.0</formula2>
    </dataValidation>
    <dataValidation type="list" allowBlank="1" showErrorMessage="1" sqref="L5:L24">
      <formula1>"Open,In Progress,Mitigated,Accepted,Closed"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16.0"/>
    <col customWidth="1" min="4" max="4" width="20.0"/>
    <col customWidth="1" min="5" max="5" width="28.0"/>
    <col customWidth="1" min="6" max="7" width="16.0"/>
    <col customWidth="1" min="8" max="9" width="14.0"/>
    <col customWidth="1" min="10" max="10" width="22.0"/>
    <col customWidth="1" min="11" max="11" width="45.0"/>
    <col customWidth="1" min="12" max="12" width="15.0"/>
    <col customWidth="1" min="13" max="13" width="16.0"/>
    <col customWidth="1" min="14" max="26" width="8.71"/>
  </cols>
  <sheetData>
    <row r="1">
      <c r="A1" s="1" t="s">
        <v>0</v>
      </c>
    </row>
    <row r="2">
      <c r="A2" s="2" t="s">
        <v>2</v>
      </c>
    </row>
    <row r="4" ht="27.75" customHeight="1">
      <c r="A4" s="3" t="s">
        <v>7</v>
      </c>
      <c r="B4" s="3" t="s">
        <v>11</v>
      </c>
      <c r="C4" s="3" t="s">
        <v>13</v>
      </c>
      <c r="D4" s="3" t="s">
        <v>14</v>
      </c>
      <c r="E4" s="3" t="s">
        <v>16</v>
      </c>
      <c r="F4" s="3" t="s">
        <v>18</v>
      </c>
      <c r="G4" s="3" t="s">
        <v>20</v>
      </c>
      <c r="H4" s="3" t="s">
        <v>22</v>
      </c>
      <c r="I4" s="3" t="s">
        <v>24</v>
      </c>
      <c r="J4" s="3" t="s">
        <v>26</v>
      </c>
      <c r="K4" s="3" t="s">
        <v>28</v>
      </c>
      <c r="L4" s="3" t="s">
        <v>31</v>
      </c>
      <c r="M4" s="3" t="s">
        <v>32</v>
      </c>
    </row>
    <row r="5" ht="27.75" customHeight="1">
      <c r="A5" s="13" t="s">
        <v>34</v>
      </c>
      <c r="B5" s="18"/>
      <c r="C5" s="13"/>
      <c r="D5" s="18"/>
      <c r="E5" s="18"/>
      <c r="F5" s="13"/>
      <c r="G5" s="13"/>
      <c r="H5" s="13" t="str">
        <f t="shared" ref="H5:H24" si="1">IF(OR(F5="",G5=""),"",F5*G5)</f>
        <v/>
      </c>
      <c r="I5" s="13" t="str">
        <f t="shared" ref="I5:I24" si="2">IF(H5="","",IF(H5&gt;=15,"Critical",IF(H5&gt;=10,"High",IF(H5&gt;=5,"Medium","Low"))))</f>
        <v/>
      </c>
      <c r="J5" s="18"/>
      <c r="K5" s="18"/>
      <c r="L5" s="13" t="s">
        <v>63</v>
      </c>
      <c r="M5" s="13"/>
    </row>
    <row r="6" ht="27.75" customHeight="1">
      <c r="A6" s="8" t="s">
        <v>66</v>
      </c>
      <c r="B6" s="23"/>
      <c r="C6" s="8"/>
      <c r="D6" s="23"/>
      <c r="E6" s="23"/>
      <c r="F6" s="8"/>
      <c r="G6" s="8"/>
      <c r="H6" s="8" t="str">
        <f t="shared" si="1"/>
        <v/>
      </c>
      <c r="I6" s="8" t="str">
        <f t="shared" si="2"/>
        <v/>
      </c>
      <c r="J6" s="23"/>
      <c r="K6" s="23"/>
      <c r="L6" s="8" t="s">
        <v>63</v>
      </c>
      <c r="M6" s="8"/>
    </row>
    <row r="7" ht="27.75" customHeight="1">
      <c r="A7" s="13" t="s">
        <v>84</v>
      </c>
      <c r="B7" s="18"/>
      <c r="C7" s="13"/>
      <c r="D7" s="18"/>
      <c r="E7" s="18"/>
      <c r="F7" s="13"/>
      <c r="G7" s="13"/>
      <c r="H7" s="13" t="str">
        <f t="shared" si="1"/>
        <v/>
      </c>
      <c r="I7" s="13" t="str">
        <f t="shared" si="2"/>
        <v/>
      </c>
      <c r="J7" s="18"/>
      <c r="K7" s="18"/>
      <c r="L7" s="13" t="s">
        <v>63</v>
      </c>
      <c r="M7" s="13"/>
    </row>
    <row r="8" ht="27.75" customHeight="1">
      <c r="A8" s="8" t="s">
        <v>99</v>
      </c>
      <c r="B8" s="23"/>
      <c r="C8" s="8"/>
      <c r="D8" s="23"/>
      <c r="E8" s="23"/>
      <c r="F8" s="8"/>
      <c r="G8" s="8"/>
      <c r="H8" s="8" t="str">
        <f t="shared" si="1"/>
        <v/>
      </c>
      <c r="I8" s="8" t="str">
        <f t="shared" si="2"/>
        <v/>
      </c>
      <c r="J8" s="23"/>
      <c r="K8" s="23"/>
      <c r="L8" s="8"/>
      <c r="M8" s="8"/>
    </row>
    <row r="9" ht="27.75" customHeight="1">
      <c r="A9" s="13" t="s">
        <v>109</v>
      </c>
      <c r="B9" s="18"/>
      <c r="C9" s="13"/>
      <c r="D9" s="18"/>
      <c r="E9" s="18"/>
      <c r="F9" s="13"/>
      <c r="G9" s="13"/>
      <c r="H9" s="13" t="str">
        <f t="shared" si="1"/>
        <v/>
      </c>
      <c r="I9" s="13" t="str">
        <f t="shared" si="2"/>
        <v/>
      </c>
      <c r="J9" s="18"/>
      <c r="K9" s="18"/>
      <c r="L9" s="13"/>
      <c r="M9" s="13"/>
    </row>
    <row r="10" ht="27.75" customHeight="1">
      <c r="A10" s="8" t="s">
        <v>118</v>
      </c>
      <c r="B10" s="23"/>
      <c r="C10" s="8"/>
      <c r="D10" s="23"/>
      <c r="E10" s="23"/>
      <c r="F10" s="8"/>
      <c r="G10" s="8"/>
      <c r="H10" s="8" t="str">
        <f t="shared" si="1"/>
        <v/>
      </c>
      <c r="I10" s="8" t="str">
        <f t="shared" si="2"/>
        <v/>
      </c>
      <c r="J10" s="23"/>
      <c r="K10" s="23"/>
      <c r="L10" s="8"/>
      <c r="M10" s="8"/>
    </row>
    <row r="11" ht="27.75" customHeight="1">
      <c r="A11" s="13" t="s">
        <v>126</v>
      </c>
      <c r="B11" s="18"/>
      <c r="C11" s="13"/>
      <c r="D11" s="18"/>
      <c r="E11" s="18"/>
      <c r="F11" s="13"/>
      <c r="G11" s="13"/>
      <c r="H11" s="13" t="str">
        <f t="shared" si="1"/>
        <v/>
      </c>
      <c r="I11" s="13" t="str">
        <f t="shared" si="2"/>
        <v/>
      </c>
      <c r="J11" s="18"/>
      <c r="K11" s="18"/>
      <c r="L11" s="13"/>
      <c r="M11" s="13"/>
    </row>
    <row r="12" ht="27.75" customHeight="1">
      <c r="A12" s="8" t="s">
        <v>137</v>
      </c>
      <c r="B12" s="23"/>
      <c r="C12" s="8"/>
      <c r="D12" s="23"/>
      <c r="E12" s="23"/>
      <c r="F12" s="8"/>
      <c r="G12" s="8"/>
      <c r="H12" s="8" t="str">
        <f t="shared" si="1"/>
        <v/>
      </c>
      <c r="I12" s="8" t="str">
        <f t="shared" si="2"/>
        <v/>
      </c>
      <c r="J12" s="23"/>
      <c r="K12" s="23"/>
      <c r="L12" s="8"/>
      <c r="M12" s="8"/>
    </row>
    <row r="13" ht="27.75" customHeight="1">
      <c r="A13" s="13" t="s">
        <v>149</v>
      </c>
      <c r="B13" s="18"/>
      <c r="C13" s="13"/>
      <c r="D13" s="18"/>
      <c r="E13" s="18"/>
      <c r="F13" s="13"/>
      <c r="G13" s="13"/>
      <c r="H13" s="13" t="str">
        <f t="shared" si="1"/>
        <v/>
      </c>
      <c r="I13" s="13" t="str">
        <f t="shared" si="2"/>
        <v/>
      </c>
      <c r="J13" s="18"/>
      <c r="K13" s="18"/>
      <c r="L13" s="13"/>
      <c r="M13" s="13"/>
    </row>
    <row r="14" ht="27.75" customHeight="1">
      <c r="A14" s="8" t="s">
        <v>155</v>
      </c>
      <c r="B14" s="23"/>
      <c r="C14" s="8"/>
      <c r="D14" s="23"/>
      <c r="E14" s="23"/>
      <c r="F14" s="8"/>
      <c r="G14" s="8"/>
      <c r="H14" s="8" t="str">
        <f t="shared" si="1"/>
        <v/>
      </c>
      <c r="I14" s="8" t="str">
        <f t="shared" si="2"/>
        <v/>
      </c>
      <c r="J14" s="23"/>
      <c r="K14" s="23"/>
      <c r="L14" s="8"/>
      <c r="M14" s="8"/>
    </row>
    <row r="15" ht="27.75" customHeight="1">
      <c r="A15" s="13" t="s">
        <v>158</v>
      </c>
      <c r="B15" s="18"/>
      <c r="C15" s="13"/>
      <c r="D15" s="18"/>
      <c r="E15" s="18"/>
      <c r="F15" s="13"/>
      <c r="G15" s="13"/>
      <c r="H15" s="13" t="str">
        <f t="shared" si="1"/>
        <v/>
      </c>
      <c r="I15" s="13" t="str">
        <f t="shared" si="2"/>
        <v/>
      </c>
      <c r="J15" s="18"/>
      <c r="K15" s="18"/>
      <c r="L15" s="13"/>
      <c r="M15" s="13"/>
    </row>
    <row r="16" ht="27.75" customHeight="1">
      <c r="A16" s="8" t="s">
        <v>159</v>
      </c>
      <c r="B16" s="23"/>
      <c r="C16" s="8"/>
      <c r="D16" s="23"/>
      <c r="E16" s="23"/>
      <c r="F16" s="8"/>
      <c r="G16" s="8"/>
      <c r="H16" s="8" t="str">
        <f t="shared" si="1"/>
        <v/>
      </c>
      <c r="I16" s="8" t="str">
        <f t="shared" si="2"/>
        <v/>
      </c>
      <c r="J16" s="23"/>
      <c r="K16" s="23"/>
      <c r="L16" s="8"/>
      <c r="M16" s="8"/>
    </row>
    <row r="17" ht="27.75" customHeight="1">
      <c r="A17" s="13" t="s">
        <v>160</v>
      </c>
      <c r="B17" s="18"/>
      <c r="C17" s="13"/>
      <c r="D17" s="18"/>
      <c r="E17" s="18"/>
      <c r="F17" s="13"/>
      <c r="G17" s="13"/>
      <c r="H17" s="13" t="str">
        <f t="shared" si="1"/>
        <v/>
      </c>
      <c r="I17" s="13" t="str">
        <f t="shared" si="2"/>
        <v/>
      </c>
      <c r="J17" s="18"/>
      <c r="K17" s="18"/>
      <c r="L17" s="13"/>
      <c r="M17" s="13"/>
    </row>
    <row r="18" ht="27.75" customHeight="1">
      <c r="A18" s="8" t="s">
        <v>161</v>
      </c>
      <c r="B18" s="23"/>
      <c r="C18" s="8"/>
      <c r="D18" s="23"/>
      <c r="E18" s="23"/>
      <c r="F18" s="8"/>
      <c r="G18" s="8"/>
      <c r="H18" s="8" t="str">
        <f t="shared" si="1"/>
        <v/>
      </c>
      <c r="I18" s="8" t="str">
        <f t="shared" si="2"/>
        <v/>
      </c>
      <c r="J18" s="23"/>
      <c r="K18" s="23"/>
      <c r="L18" s="8"/>
      <c r="M18" s="8"/>
    </row>
    <row r="19" ht="27.75" customHeight="1">
      <c r="A19" s="13" t="s">
        <v>162</v>
      </c>
      <c r="B19" s="18"/>
      <c r="C19" s="13"/>
      <c r="D19" s="18"/>
      <c r="E19" s="18"/>
      <c r="F19" s="13"/>
      <c r="G19" s="13"/>
      <c r="H19" s="13" t="str">
        <f t="shared" si="1"/>
        <v/>
      </c>
      <c r="I19" s="13" t="str">
        <f t="shared" si="2"/>
        <v/>
      </c>
      <c r="J19" s="18"/>
      <c r="K19" s="18"/>
      <c r="L19" s="13"/>
      <c r="M19" s="13"/>
    </row>
    <row r="20" ht="27.75" customHeight="1">
      <c r="A20" s="8" t="s">
        <v>163</v>
      </c>
      <c r="B20" s="23"/>
      <c r="C20" s="8"/>
      <c r="D20" s="23"/>
      <c r="E20" s="23"/>
      <c r="F20" s="8"/>
      <c r="G20" s="8"/>
      <c r="H20" s="8" t="str">
        <f t="shared" si="1"/>
        <v/>
      </c>
      <c r="I20" s="8" t="str">
        <f t="shared" si="2"/>
        <v/>
      </c>
      <c r="J20" s="23"/>
      <c r="K20" s="23"/>
      <c r="L20" s="8"/>
      <c r="M20" s="8"/>
    </row>
    <row r="21" ht="27.75" customHeight="1">
      <c r="A21" s="13" t="s">
        <v>164</v>
      </c>
      <c r="B21" s="18"/>
      <c r="C21" s="13"/>
      <c r="D21" s="18"/>
      <c r="E21" s="18"/>
      <c r="F21" s="13"/>
      <c r="G21" s="13"/>
      <c r="H21" s="13" t="str">
        <f t="shared" si="1"/>
        <v/>
      </c>
      <c r="I21" s="13" t="str">
        <f t="shared" si="2"/>
        <v/>
      </c>
      <c r="J21" s="18"/>
      <c r="K21" s="18"/>
      <c r="L21" s="13"/>
      <c r="M21" s="13"/>
    </row>
    <row r="22" ht="27.75" customHeight="1">
      <c r="A22" s="8" t="s">
        <v>165</v>
      </c>
      <c r="B22" s="23"/>
      <c r="C22" s="8"/>
      <c r="D22" s="23"/>
      <c r="E22" s="23"/>
      <c r="F22" s="8"/>
      <c r="G22" s="8"/>
      <c r="H22" s="8" t="str">
        <f t="shared" si="1"/>
        <v/>
      </c>
      <c r="I22" s="8" t="str">
        <f t="shared" si="2"/>
        <v/>
      </c>
      <c r="J22" s="23"/>
      <c r="K22" s="23"/>
      <c r="L22" s="8"/>
      <c r="M22" s="8"/>
    </row>
    <row r="23" ht="27.75" customHeight="1">
      <c r="A23" s="13" t="s">
        <v>166</v>
      </c>
      <c r="B23" s="18"/>
      <c r="C23" s="13"/>
      <c r="D23" s="18"/>
      <c r="E23" s="18"/>
      <c r="F23" s="13"/>
      <c r="G23" s="13"/>
      <c r="H23" s="13" t="str">
        <f t="shared" si="1"/>
        <v/>
      </c>
      <c r="I23" s="13" t="str">
        <f t="shared" si="2"/>
        <v/>
      </c>
      <c r="J23" s="18"/>
      <c r="K23" s="18"/>
      <c r="L23" s="13"/>
      <c r="M23" s="13"/>
    </row>
    <row r="24" ht="27.75" customHeight="1">
      <c r="A24" s="8" t="s">
        <v>167</v>
      </c>
      <c r="B24" s="23"/>
      <c r="C24" s="8"/>
      <c r="D24" s="23"/>
      <c r="E24" s="23"/>
      <c r="F24" s="8"/>
      <c r="G24" s="8"/>
      <c r="H24" s="8" t="str">
        <f t="shared" si="1"/>
        <v/>
      </c>
      <c r="I24" s="8" t="str">
        <f t="shared" si="2"/>
        <v/>
      </c>
      <c r="J24" s="23"/>
      <c r="K24" s="23"/>
      <c r="L24" s="8"/>
      <c r="M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5:C24">
      <formula1>"Govern,Map,Measure,Manage"</formula1>
    </dataValidation>
    <dataValidation type="decimal" allowBlank="1" showErrorMessage="1" sqref="F5:G24">
      <formula1>1.0</formula1>
      <formula2>5.0</formula2>
    </dataValidation>
    <dataValidation type="list" allowBlank="1" showErrorMessage="1" sqref="L5:L24">
      <formula1>"Open,In Progress,Mitigated,Accepted,Closed"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6" width="18.0"/>
    <col customWidth="1" min="7" max="26" width="8.71"/>
  </cols>
  <sheetData>
    <row r="1">
      <c r="A1" s="1" t="s">
        <v>5</v>
      </c>
    </row>
    <row r="3">
      <c r="A3" s="4" t="s">
        <v>8</v>
      </c>
    </row>
    <row r="5" ht="24.0" customHeight="1">
      <c r="A5" s="3" t="s">
        <v>12</v>
      </c>
      <c r="B5" s="3" t="s">
        <v>15</v>
      </c>
      <c r="C5" s="3" t="s">
        <v>17</v>
      </c>
      <c r="D5" s="3" t="s">
        <v>19</v>
      </c>
      <c r="E5" s="3" t="s">
        <v>21</v>
      </c>
      <c r="F5" s="3" t="s">
        <v>23</v>
      </c>
    </row>
    <row r="6" ht="24.0" customHeight="1">
      <c r="A6" s="14" t="s">
        <v>27</v>
      </c>
      <c r="B6" s="16" t="s">
        <v>30</v>
      </c>
      <c r="C6" s="17" t="s">
        <v>33</v>
      </c>
      <c r="D6" s="19" t="s">
        <v>36</v>
      </c>
      <c r="E6" s="19" t="s">
        <v>37</v>
      </c>
      <c r="F6" s="19" t="s">
        <v>39</v>
      </c>
    </row>
    <row r="7" ht="24.0" customHeight="1">
      <c r="A7" s="14" t="s">
        <v>40</v>
      </c>
      <c r="B7" s="20" t="s">
        <v>42</v>
      </c>
      <c r="C7" s="16" t="s">
        <v>45</v>
      </c>
      <c r="D7" s="17" t="s">
        <v>47</v>
      </c>
      <c r="E7" s="19" t="s">
        <v>50</v>
      </c>
      <c r="F7" s="19" t="s">
        <v>37</v>
      </c>
    </row>
    <row r="8" ht="24.0" customHeight="1">
      <c r="A8" s="14" t="s">
        <v>51</v>
      </c>
      <c r="B8" s="20" t="s">
        <v>52</v>
      </c>
      <c r="C8" s="16" t="s">
        <v>54</v>
      </c>
      <c r="D8" s="17" t="s">
        <v>55</v>
      </c>
      <c r="E8" s="17" t="s">
        <v>47</v>
      </c>
      <c r="F8" s="19" t="s">
        <v>36</v>
      </c>
    </row>
    <row r="9" ht="24.0" customHeight="1">
      <c r="A9" s="14" t="s">
        <v>57</v>
      </c>
      <c r="B9" s="20" t="s">
        <v>58</v>
      </c>
      <c r="C9" s="20" t="s">
        <v>42</v>
      </c>
      <c r="D9" s="16" t="s">
        <v>54</v>
      </c>
      <c r="E9" s="16" t="s">
        <v>45</v>
      </c>
      <c r="F9" s="17" t="s">
        <v>33</v>
      </c>
    </row>
    <row r="10" ht="24.0" customHeight="1">
      <c r="A10" s="14" t="s">
        <v>60</v>
      </c>
      <c r="B10" s="20" t="s">
        <v>62</v>
      </c>
      <c r="C10" s="20" t="s">
        <v>58</v>
      </c>
      <c r="D10" s="20" t="s">
        <v>52</v>
      </c>
      <c r="E10" s="20" t="s">
        <v>42</v>
      </c>
      <c r="F10" s="16" t="s">
        <v>30</v>
      </c>
    </row>
    <row r="12">
      <c r="A12" s="22" t="s">
        <v>68</v>
      </c>
    </row>
    <row r="13">
      <c r="A13" s="20" t="s">
        <v>70</v>
      </c>
      <c r="B13" s="10" t="s">
        <v>72</v>
      </c>
      <c r="C13" s="11"/>
      <c r="D13" s="11"/>
      <c r="E13" s="11"/>
      <c r="F13" s="12"/>
    </row>
    <row r="14">
      <c r="A14" s="16" t="s">
        <v>79</v>
      </c>
      <c r="B14" s="10" t="s">
        <v>80</v>
      </c>
      <c r="C14" s="11"/>
      <c r="D14" s="11"/>
      <c r="E14" s="11"/>
      <c r="F14" s="12"/>
    </row>
    <row r="15">
      <c r="A15" s="17" t="s">
        <v>83</v>
      </c>
      <c r="B15" s="10" t="s">
        <v>87</v>
      </c>
      <c r="C15" s="11"/>
      <c r="D15" s="11"/>
      <c r="E15" s="11"/>
      <c r="F15" s="12"/>
    </row>
    <row r="16">
      <c r="A16" s="19" t="s">
        <v>91</v>
      </c>
      <c r="B16" s="10" t="s">
        <v>94</v>
      </c>
      <c r="C16" s="11"/>
      <c r="D16" s="11"/>
      <c r="E16" s="11"/>
      <c r="F16" s="12"/>
    </row>
    <row r="18">
      <c r="A18" s="4" t="s">
        <v>97</v>
      </c>
    </row>
    <row r="19">
      <c r="A19" s="3" t="s">
        <v>98</v>
      </c>
      <c r="B19" s="3" t="s">
        <v>100</v>
      </c>
      <c r="C19" s="3" t="s">
        <v>101</v>
      </c>
    </row>
    <row r="20">
      <c r="A20" s="8">
        <v>1.0</v>
      </c>
      <c r="B20" s="8" t="s">
        <v>102</v>
      </c>
      <c r="C20" s="10" t="s">
        <v>103</v>
      </c>
      <c r="D20" s="11"/>
      <c r="E20" s="11"/>
      <c r="F20" s="12"/>
    </row>
    <row r="21" ht="15.75" customHeight="1">
      <c r="A21" s="8">
        <v>2.0</v>
      </c>
      <c r="B21" s="8" t="s">
        <v>106</v>
      </c>
      <c r="C21" s="10" t="s">
        <v>107</v>
      </c>
      <c r="D21" s="11"/>
      <c r="E21" s="11"/>
      <c r="F21" s="12"/>
    </row>
    <row r="22" ht="15.75" customHeight="1">
      <c r="A22" s="8">
        <v>3.0</v>
      </c>
      <c r="B22" s="8" t="s">
        <v>112</v>
      </c>
      <c r="C22" s="10" t="s">
        <v>113</v>
      </c>
      <c r="D22" s="11"/>
      <c r="E22" s="11"/>
      <c r="F22" s="12"/>
    </row>
    <row r="23" ht="15.75" customHeight="1">
      <c r="A23" s="8">
        <v>4.0</v>
      </c>
      <c r="B23" s="8" t="s">
        <v>115</v>
      </c>
      <c r="C23" s="10" t="s">
        <v>117</v>
      </c>
      <c r="D23" s="11"/>
      <c r="E23" s="11"/>
      <c r="F23" s="12"/>
    </row>
    <row r="24" ht="15.75" customHeight="1">
      <c r="A24" s="8">
        <v>5.0</v>
      </c>
      <c r="B24" s="8" t="s">
        <v>122</v>
      </c>
      <c r="C24" s="10" t="s">
        <v>124</v>
      </c>
      <c r="D24" s="11"/>
      <c r="E24" s="11"/>
      <c r="F24" s="12"/>
    </row>
    <row r="25" ht="15.75" customHeight="1"/>
    <row r="26" ht="15.75" customHeight="1">
      <c r="A26" s="4" t="s">
        <v>125</v>
      </c>
    </row>
    <row r="27" ht="15.75" customHeight="1">
      <c r="A27" s="3" t="s">
        <v>98</v>
      </c>
      <c r="B27" s="3" t="s">
        <v>100</v>
      </c>
      <c r="C27" s="3" t="s">
        <v>101</v>
      </c>
    </row>
    <row r="28" ht="15.75" customHeight="1">
      <c r="A28" s="8">
        <v>1.0</v>
      </c>
      <c r="B28" s="8" t="s">
        <v>129</v>
      </c>
      <c r="C28" s="10" t="s">
        <v>130</v>
      </c>
      <c r="D28" s="11"/>
      <c r="E28" s="11"/>
      <c r="F28" s="12"/>
    </row>
    <row r="29" ht="15.75" customHeight="1">
      <c r="A29" s="8">
        <v>2.0</v>
      </c>
      <c r="B29" s="8" t="s">
        <v>133</v>
      </c>
      <c r="C29" s="10" t="s">
        <v>135</v>
      </c>
      <c r="D29" s="11"/>
      <c r="E29" s="11"/>
      <c r="F29" s="12"/>
    </row>
    <row r="30" ht="15.75" customHeight="1">
      <c r="A30" s="8">
        <v>3.0</v>
      </c>
      <c r="B30" s="8" t="s">
        <v>138</v>
      </c>
      <c r="C30" s="10" t="s">
        <v>139</v>
      </c>
      <c r="D30" s="11"/>
      <c r="E30" s="11"/>
      <c r="F30" s="12"/>
    </row>
    <row r="31" ht="15.75" customHeight="1">
      <c r="A31" s="8">
        <v>4.0</v>
      </c>
      <c r="B31" s="8" t="s">
        <v>142</v>
      </c>
      <c r="C31" s="10" t="s">
        <v>144</v>
      </c>
      <c r="D31" s="11"/>
      <c r="E31" s="11"/>
      <c r="F31" s="12"/>
    </row>
    <row r="32" ht="15.75" customHeight="1">
      <c r="A32" s="8">
        <v>5.0</v>
      </c>
      <c r="B32" s="8" t="s">
        <v>146</v>
      </c>
      <c r="C32" s="10" t="s">
        <v>148</v>
      </c>
      <c r="D32" s="11"/>
      <c r="E32" s="11"/>
      <c r="F32" s="1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23:F23"/>
    <mergeCell ref="C24:F24"/>
    <mergeCell ref="C28:F28"/>
    <mergeCell ref="C29:F29"/>
    <mergeCell ref="C30:F30"/>
    <mergeCell ref="C31:F31"/>
    <mergeCell ref="C32:F32"/>
    <mergeCell ref="B13:F13"/>
    <mergeCell ref="B14:F14"/>
    <mergeCell ref="B15:F15"/>
    <mergeCell ref="B16:F16"/>
    <mergeCell ref="C20:F20"/>
    <mergeCell ref="C21:F21"/>
    <mergeCell ref="C22:F2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3" width="60.0"/>
    <col customWidth="1" min="4" max="26" width="8.71"/>
  </cols>
  <sheetData>
    <row r="1">
      <c r="A1" s="1" t="s">
        <v>4</v>
      </c>
    </row>
    <row r="3">
      <c r="A3" s="3" t="s">
        <v>6</v>
      </c>
      <c r="B3" s="3" t="s">
        <v>9</v>
      </c>
      <c r="C3" s="5" t="s">
        <v>10</v>
      </c>
      <c r="D3" s="6"/>
      <c r="E3" s="6"/>
      <c r="F3" s="7"/>
    </row>
    <row r="4" ht="24.0" customHeight="1">
      <c r="A4" s="8">
        <v>1.0</v>
      </c>
      <c r="B4" s="9" t="s">
        <v>7</v>
      </c>
      <c r="C4" s="10" t="s">
        <v>25</v>
      </c>
      <c r="D4" s="11"/>
      <c r="E4" s="11"/>
      <c r="F4" s="12"/>
    </row>
    <row r="5" ht="24.0" customHeight="1">
      <c r="A5" s="13">
        <v>2.0</v>
      </c>
      <c r="B5" s="14" t="s">
        <v>11</v>
      </c>
      <c r="C5" s="15" t="s">
        <v>29</v>
      </c>
      <c r="D5" s="11"/>
      <c r="E5" s="11"/>
      <c r="F5" s="12"/>
    </row>
    <row r="6" ht="24.0" customHeight="1">
      <c r="A6" s="8">
        <v>3.0</v>
      </c>
      <c r="B6" s="9" t="s">
        <v>13</v>
      </c>
      <c r="C6" s="10" t="s">
        <v>35</v>
      </c>
      <c r="D6" s="11"/>
      <c r="E6" s="11"/>
      <c r="F6" s="12"/>
    </row>
    <row r="7" ht="24.0" customHeight="1">
      <c r="A7" s="13">
        <v>4.0</v>
      </c>
      <c r="B7" s="14" t="s">
        <v>14</v>
      </c>
      <c r="C7" s="15" t="s">
        <v>38</v>
      </c>
      <c r="D7" s="11"/>
      <c r="E7" s="11"/>
      <c r="F7" s="12"/>
    </row>
    <row r="8" ht="24.0" customHeight="1">
      <c r="A8" s="8">
        <v>5.0</v>
      </c>
      <c r="B8" s="9" t="s">
        <v>16</v>
      </c>
      <c r="C8" s="10" t="s">
        <v>41</v>
      </c>
      <c r="D8" s="11"/>
      <c r="E8" s="11"/>
      <c r="F8" s="12"/>
    </row>
    <row r="9" ht="24.0" customHeight="1">
      <c r="A9" s="13">
        <v>6.0</v>
      </c>
      <c r="B9" s="14" t="s">
        <v>18</v>
      </c>
      <c r="C9" s="15" t="s">
        <v>48</v>
      </c>
      <c r="D9" s="11"/>
      <c r="E9" s="11"/>
      <c r="F9" s="12"/>
    </row>
    <row r="10" ht="24.0" customHeight="1">
      <c r="A10" s="8">
        <v>7.0</v>
      </c>
      <c r="B10" s="9" t="s">
        <v>20</v>
      </c>
      <c r="C10" s="10" t="s">
        <v>53</v>
      </c>
      <c r="D10" s="11"/>
      <c r="E10" s="11"/>
      <c r="F10" s="12"/>
    </row>
    <row r="11" ht="24.0" customHeight="1">
      <c r="A11" s="13">
        <v>8.0</v>
      </c>
      <c r="B11" s="14" t="s">
        <v>22</v>
      </c>
      <c r="C11" s="15" t="s">
        <v>56</v>
      </c>
      <c r="D11" s="11"/>
      <c r="E11" s="11"/>
      <c r="F11" s="12"/>
    </row>
    <row r="12" ht="24.0" customHeight="1">
      <c r="A12" s="8">
        <v>9.0</v>
      </c>
      <c r="B12" s="9" t="s">
        <v>24</v>
      </c>
      <c r="C12" s="10" t="s">
        <v>59</v>
      </c>
      <c r="D12" s="11"/>
      <c r="E12" s="11"/>
      <c r="F12" s="12"/>
    </row>
    <row r="13" ht="24.0" customHeight="1">
      <c r="A13" s="13">
        <v>10.0</v>
      </c>
      <c r="B13" s="14" t="s">
        <v>26</v>
      </c>
      <c r="C13" s="15" t="s">
        <v>61</v>
      </c>
      <c r="D13" s="11"/>
      <c r="E13" s="11"/>
      <c r="F13" s="12"/>
    </row>
    <row r="14" ht="24.0" customHeight="1">
      <c r="A14" s="8">
        <v>11.0</v>
      </c>
      <c r="B14" s="9" t="s">
        <v>28</v>
      </c>
      <c r="C14" s="10" t="s">
        <v>64</v>
      </c>
      <c r="D14" s="11"/>
      <c r="E14" s="11"/>
      <c r="F14" s="12"/>
    </row>
    <row r="15" ht="24.0" customHeight="1">
      <c r="A15" s="13">
        <v>12.0</v>
      </c>
      <c r="B15" s="14" t="s">
        <v>31</v>
      </c>
      <c r="C15" s="15" t="s">
        <v>69</v>
      </c>
      <c r="D15" s="11"/>
      <c r="E15" s="11"/>
      <c r="F15" s="12"/>
    </row>
    <row r="16" ht="24.0" customHeight="1">
      <c r="A16" s="8">
        <v>13.0</v>
      </c>
      <c r="B16" s="9" t="s">
        <v>32</v>
      </c>
      <c r="C16" s="10" t="s">
        <v>74</v>
      </c>
      <c r="D16" s="11"/>
      <c r="E16" s="11"/>
      <c r="F16" s="12"/>
    </row>
    <row r="19">
      <c r="A19" s="24" t="s">
        <v>77</v>
      </c>
      <c r="B19" s="11"/>
      <c r="C19" s="11"/>
      <c r="D19" s="11"/>
      <c r="E19" s="11"/>
      <c r="F19" s="12"/>
    </row>
    <row r="20">
      <c r="A20" s="25" t="s">
        <v>81</v>
      </c>
      <c r="B20" s="11"/>
      <c r="C20" s="11"/>
      <c r="D20" s="11"/>
      <c r="E20" s="11"/>
      <c r="F20" s="12"/>
    </row>
    <row r="21" ht="15.75" customHeight="1">
      <c r="A21" s="25" t="s">
        <v>82</v>
      </c>
      <c r="B21" s="11"/>
      <c r="C21" s="11"/>
      <c r="D21" s="11"/>
      <c r="E21" s="11"/>
      <c r="F21" s="12"/>
    </row>
    <row r="22" ht="15.75" customHeight="1">
      <c r="A22" s="25" t="s">
        <v>85</v>
      </c>
      <c r="B22" s="11"/>
      <c r="C22" s="11"/>
      <c r="D22" s="11"/>
      <c r="E22" s="11"/>
      <c r="F22" s="12"/>
    </row>
    <row r="23" ht="15.75" customHeight="1">
      <c r="A23" s="25" t="s">
        <v>89</v>
      </c>
      <c r="B23" s="11"/>
      <c r="C23" s="11"/>
      <c r="D23" s="11"/>
      <c r="E23" s="11"/>
      <c r="F23" s="12"/>
    </row>
    <row r="24" ht="15.75" customHeight="1">
      <c r="A24" s="25" t="s">
        <v>92</v>
      </c>
      <c r="B24" s="11"/>
      <c r="C24" s="11"/>
      <c r="D24" s="11"/>
      <c r="E24" s="11"/>
      <c r="F24" s="12"/>
    </row>
    <row r="25" ht="15.75" customHeight="1">
      <c r="A25" s="25" t="s">
        <v>95</v>
      </c>
      <c r="B25" s="11"/>
      <c r="C25" s="11"/>
      <c r="D25" s="11"/>
      <c r="E25" s="11"/>
      <c r="F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3:F3"/>
    <mergeCell ref="C4:F4"/>
    <mergeCell ref="C5:F5"/>
    <mergeCell ref="C6:F6"/>
    <mergeCell ref="C7:F7"/>
    <mergeCell ref="C8:F8"/>
    <mergeCell ref="C9:F9"/>
    <mergeCell ref="A19:F19"/>
    <mergeCell ref="A20:F20"/>
    <mergeCell ref="A21:F21"/>
    <mergeCell ref="A22:F22"/>
    <mergeCell ref="A23:F23"/>
    <mergeCell ref="A24:F24"/>
    <mergeCell ref="A25:F25"/>
    <mergeCell ref="C10:F10"/>
    <mergeCell ref="C11:F11"/>
    <mergeCell ref="C12:F12"/>
    <mergeCell ref="C13:F13"/>
    <mergeCell ref="C14:F14"/>
    <mergeCell ref="C15:F15"/>
    <mergeCell ref="C16:F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2026-07-25T17:59:23Z</dcterms:created>
  <dc:creator>openpyxl</dc:creator>
</cp:coreProperties>
</file>